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2D7C2017-72FF-4088-B55B-84778EB8BEFF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bike_buyers" sheetId="1" r:id="rId1"/>
    <sheet name="Working Sheet" sheetId="4" r:id="rId2"/>
    <sheet name="DashBoard" sheetId="2" r:id="rId3"/>
    <sheet name="PivotTable" sheetId="3" r:id="rId4"/>
  </sheets>
  <definedNames>
    <definedName name="_xlnm._FilterDatabase" localSheetId="0" hidden="1">bike_buyers!$A$1:$M$1001</definedName>
    <definedName name="_xlnm._FilterDatabase" localSheetId="1" hidden="1">'Working Sheet'!$A$1:$N$1027</definedName>
    <definedName name="Slicer_Education">#N/A</definedName>
    <definedName name="Slicer_Marital_Status">#N/A</definedName>
    <definedName name="Slicer_Region">#N/A</definedName>
  </definedNames>
  <calcPr calcId="191028"/>
  <pivotCaches>
    <pivotCache cacheId="686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2" i="4"/>
</calcChain>
</file>

<file path=xl/sharedStrings.xml><?xml version="1.0" encoding="utf-8"?>
<sst xmlns="http://schemas.openxmlformats.org/spreadsheetml/2006/main" count="16282" uniqueCount="48">
  <si>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</si>
  <si>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</si>
  <si>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</si>
  <si>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</si>
  <si>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</si>
  <si>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</si>
  <si>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</si>
  <si>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</si>
  <si>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</si>
  <si>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</si>
  <si>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</si>
  <si>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</si>
  <si>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</si>
  <si>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</si>
  <si>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</si>
  <si>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</si>
  <si>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</si>
  <si>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</si>
  <si>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</si>
  <si>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</si>
  <si>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</si>
  <si>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</si>
  <si>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</si>
  <si>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</si>
  <si>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</si>
  <si>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</si>
  <si>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</si>
  <si>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</si>
  <si>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</si>
  <si>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</si>
  <si>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</si>
  <si>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</si>
  <si>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</si>
  <si>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</si>
  <si>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</si>
  <si>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</si>
  <si>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</si>
  <si>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</si>
  <si>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</si>
  <si>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</si>
  <si>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</si>
  <si>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10 Miles +</t>
  </si>
  <si>
    <t>Bike sales Dashboard</t>
  </si>
  <si>
    <t>Average of Income</t>
  </si>
  <si>
    <t>Grand Total</t>
  </si>
  <si>
    <t>Count of Purchased Bike</t>
  </si>
  <si>
    <t>Middle Age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</si>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</sst>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rgb="FFFFFFFF"/>
      <name val="Batang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Alignment="1">
      <alignment wrapText="1"/>
    </xf>
    <xf numFmtId="165" fontId="0" fillId="0" borderId="0" xfId="0" applyNumberFormat="1"/>
    <xf numFmtId="0" fontId="0" fillId="0" borderId="0" xfId="0" pivotButton="1"/>
    <xf numFmtId="1" fontId="0" fillId="0" borderId="0" xfId="0" applyNumberFormat="1"/>
    <xf numFmtId="0" fontId="0" fillId="0" borderId="0" xfId="0" applyNumberFormat="1"/>
    <xf numFmtId="0" fontId="0" fillId="34" borderId="0" xfId="0" applyFill="1"/>
    <xf numFmtId="0" fontId="19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Project1.xlsx]PivotTable!PivotTable1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Imcome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PivotTable!$B$3:$B$5</c:f>
              <c:numCache>
                <c:formatCode>0</c:formatCode>
                <c:ptCount val="2"/>
                <c:pt idx="0">
                  <c:v>66428.571428571435</c:v>
                </c:pt>
                <c:pt idx="1">
                  <c:v>75384.61538461539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6-4974-8294-8320FA5B903C}"/>
            </c:ext>
          </c:extLst>
        </c:ser>
        <c:ser>
          <c:idx val="1"/>
          <c:order val="1"/>
          <c:tx>
            <c:strRef>
              <c:f>PivotTable!$C$1:$C$2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PivotTable!$C$3:$C$5</c:f>
              <c:numCache>
                <c:formatCode>0</c:formatCode>
                <c:ptCount val="2"/>
                <c:pt idx="0">
                  <c:v>66000</c:v>
                </c:pt>
                <c:pt idx="1">
                  <c:v>70625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C6-4974-8294-8320FA5B9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476552"/>
        <c:axId val="2117958152"/>
      </c:barChart>
      <c:catAx>
        <c:axId val="498476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958152"/>
        <c:crosses val="autoZero"/>
        <c:auto val="1"/>
        <c:lblAlgn val="ctr"/>
        <c:lblOffset val="100"/>
        <c:noMultiLvlLbl val="0"/>
      </c:catAx>
      <c:valAx>
        <c:axId val="211795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765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Project1.xlsx]PivotTable!PivotTable2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PivotTable!$B$29:$B$30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PivotTable!$A$31:$A$36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PivotTable!$B$31:$B$36</c:f>
              <c:numCache>
                <c:formatCode>General</c:formatCode>
                <c:ptCount val="5"/>
                <c:pt idx="0">
                  <c:v>18</c:v>
                </c:pt>
                <c:pt idx="1">
                  <c:v>7</c:v>
                </c:pt>
                <c:pt idx="2">
                  <c:v>4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98-4675-932D-7C53F06AFD91}"/>
            </c:ext>
          </c:extLst>
        </c:ser>
        <c:ser>
          <c:idx val="1"/>
          <c:order val="1"/>
          <c:tx>
            <c:strRef>
              <c:f>PivotTable!$C$29:$C$30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PivotTable!$A$31:$A$36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PivotTable!$C$31:$C$36</c:f>
              <c:numCache>
                <c:formatCode>General</c:formatCode>
                <c:ptCount val="5"/>
                <c:pt idx="0">
                  <c:v>13</c:v>
                </c:pt>
                <c:pt idx="1">
                  <c:v>5</c:v>
                </c:pt>
                <c:pt idx="2">
                  <c:v>12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98-4675-932D-7C53F06AF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852231"/>
        <c:axId val="460874759"/>
      </c:lineChart>
      <c:catAx>
        <c:axId val="460852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74759"/>
        <c:crosses val="autoZero"/>
        <c:auto val="1"/>
        <c:lblAlgn val="ctr"/>
        <c:lblOffset val="100"/>
        <c:noMultiLvlLbl val="0"/>
      </c:catAx>
      <c:valAx>
        <c:axId val="460874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52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Project1.xlsx]PivotTable!PivotTable3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PivotTable!$B$59:$B$60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PivotTable!$A$61:$A$63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PivotTable!$B$61:$B$63</c:f>
              <c:numCache>
                <c:formatCode>General</c:formatCode>
                <c:ptCount val="2"/>
                <c:pt idx="0">
                  <c:v>25</c:v>
                </c:pt>
                <c:pt idx="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0A-4096-A97E-666DC72F2CF5}"/>
            </c:ext>
          </c:extLst>
        </c:ser>
        <c:ser>
          <c:idx val="1"/>
          <c:order val="1"/>
          <c:tx>
            <c:strRef>
              <c:f>PivotTable!$C$59:$C$60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PivotTable!$A$61:$A$63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PivotTable!$C$61:$C$63</c:f>
              <c:numCache>
                <c:formatCode>General</c:formatCode>
                <c:ptCount val="2"/>
                <c:pt idx="0">
                  <c:v>30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0A-4096-A97E-666DC72F2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139719"/>
        <c:axId val="121141767"/>
      </c:lineChart>
      <c:catAx>
        <c:axId val="121139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1767"/>
        <c:crosses val="autoZero"/>
        <c:auto val="1"/>
        <c:lblAlgn val="ctr"/>
        <c:lblOffset val="100"/>
        <c:noMultiLvlLbl val="0"/>
      </c:catAx>
      <c:valAx>
        <c:axId val="121141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39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Project1.xlsx]PivotTable!PivotTable1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Imcome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PivotTable!$B$3:$B$5</c:f>
              <c:numCache>
                <c:formatCode>0</c:formatCode>
                <c:ptCount val="2"/>
                <c:pt idx="0">
                  <c:v>66428.571428571435</c:v>
                </c:pt>
                <c:pt idx="1">
                  <c:v>75384.61538461539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7-420E-89B2-3D64AD04B285}"/>
            </c:ext>
          </c:extLst>
        </c:ser>
        <c:ser>
          <c:idx val="1"/>
          <c:order val="1"/>
          <c:tx>
            <c:strRef>
              <c:f>PivotTable!$C$1:$C$2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PivotTable!$C$3:$C$5</c:f>
              <c:numCache>
                <c:formatCode>0</c:formatCode>
                <c:ptCount val="2"/>
                <c:pt idx="0">
                  <c:v>66000</c:v>
                </c:pt>
                <c:pt idx="1">
                  <c:v>70625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47-420E-89B2-3D64AD04B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476552"/>
        <c:axId val="2117958152"/>
      </c:barChart>
      <c:catAx>
        <c:axId val="498476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958152"/>
        <c:crosses val="autoZero"/>
        <c:auto val="1"/>
        <c:lblAlgn val="ctr"/>
        <c:lblOffset val="100"/>
        <c:noMultiLvlLbl val="0"/>
      </c:catAx>
      <c:valAx>
        <c:axId val="211795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765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Project1.xlsx]PivotTable!PivotTable1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Imcome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PivotTable!$B$3:$B$5</c:f>
              <c:numCache>
                <c:formatCode>0</c:formatCode>
                <c:ptCount val="2"/>
                <c:pt idx="0">
                  <c:v>66428.571428571435</c:v>
                </c:pt>
                <c:pt idx="1">
                  <c:v>75384.61538461539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E-4DE2-9C5E-3D9956D48877}"/>
            </c:ext>
          </c:extLst>
        </c:ser>
        <c:ser>
          <c:idx val="1"/>
          <c:order val="1"/>
          <c:tx>
            <c:strRef>
              <c:f>PivotTable!$C$1:$C$2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PivotTable!$C$3:$C$5</c:f>
              <c:numCache>
                <c:formatCode>0</c:formatCode>
                <c:ptCount val="2"/>
                <c:pt idx="0">
                  <c:v>66000</c:v>
                </c:pt>
                <c:pt idx="1">
                  <c:v>70625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DE-4DE2-9C5E-3D9956D48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476552"/>
        <c:axId val="2117958152"/>
      </c:barChart>
      <c:catAx>
        <c:axId val="498476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958152"/>
        <c:crosses val="autoZero"/>
        <c:auto val="1"/>
        <c:lblAlgn val="ctr"/>
        <c:lblOffset val="100"/>
        <c:noMultiLvlLbl val="0"/>
      </c:catAx>
      <c:valAx>
        <c:axId val="211795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765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Project1.xlsx]PivotTable!PivotTable2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PivotTable!$B$29:$B$30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PivotTable!$A$31:$A$36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PivotTable!$B$31:$B$36</c:f>
              <c:numCache>
                <c:formatCode>General</c:formatCode>
                <c:ptCount val="5"/>
                <c:pt idx="0">
                  <c:v>18</c:v>
                </c:pt>
                <c:pt idx="1">
                  <c:v>7</c:v>
                </c:pt>
                <c:pt idx="2">
                  <c:v>4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CF-45AC-ADD4-1D6529D1569C}"/>
            </c:ext>
          </c:extLst>
        </c:ser>
        <c:ser>
          <c:idx val="1"/>
          <c:order val="1"/>
          <c:tx>
            <c:strRef>
              <c:f>PivotTable!$C$29:$C$30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PivotTable!$A$31:$A$36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 Miles +</c:v>
                </c:pt>
              </c:strCache>
            </c:strRef>
          </c:cat>
          <c:val>
            <c:numRef>
              <c:f>PivotTable!$C$31:$C$36</c:f>
              <c:numCache>
                <c:formatCode>General</c:formatCode>
                <c:ptCount val="5"/>
                <c:pt idx="0">
                  <c:v>13</c:v>
                </c:pt>
                <c:pt idx="1">
                  <c:v>5</c:v>
                </c:pt>
                <c:pt idx="2">
                  <c:v>12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CF-45AC-ADD4-1D6529D15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852231"/>
        <c:axId val="460874759"/>
      </c:lineChart>
      <c:catAx>
        <c:axId val="460852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74759"/>
        <c:crosses val="autoZero"/>
        <c:auto val="1"/>
        <c:lblAlgn val="ctr"/>
        <c:lblOffset val="100"/>
        <c:noMultiLvlLbl val="0"/>
      </c:catAx>
      <c:valAx>
        <c:axId val="460874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52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Project1.xlsx]PivotTable!PivotTable3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PivotTable!$B$59:$B$60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PivotTable!$A$61:$A$63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PivotTable!$B$61:$B$63</c:f>
              <c:numCache>
                <c:formatCode>General</c:formatCode>
                <c:ptCount val="2"/>
                <c:pt idx="0">
                  <c:v>25</c:v>
                </c:pt>
                <c:pt idx="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D0-49E9-BD97-FD854CB81B7E}"/>
            </c:ext>
          </c:extLst>
        </c:ser>
        <c:ser>
          <c:idx val="1"/>
          <c:order val="1"/>
          <c:tx>
            <c:strRef>
              <c:f>PivotTable!$C$59:$C$60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PivotTable!$A$61:$A$63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PivotTable!$C$61:$C$63</c:f>
              <c:numCache>
                <c:formatCode>General</c:formatCode>
                <c:ptCount val="2"/>
                <c:pt idx="0">
                  <c:v>30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D0-49E9-BD97-FD854CB81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139719"/>
        <c:axId val="121141767"/>
      </c:lineChart>
      <c:catAx>
        <c:axId val="121139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1767"/>
        <c:crosses val="autoZero"/>
        <c:auto val="1"/>
        <c:lblAlgn val="ctr"/>
        <c:lblOffset val="100"/>
        <c:noMultiLvlLbl val="0"/>
      </c:catAx>
      <c:valAx>
        <c:axId val="121141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39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Project1.xlsx]PivotTable!PivotTable4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PivotTable!$B$86:$B$87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PivotTable!$A$88:$A$113</c:f>
              <c:strCache>
                <c:ptCount val="25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</c:v>
                </c:pt>
                <c:pt idx="4">
                  <c:v>36</c:v>
                </c:pt>
                <c:pt idx="5">
                  <c:v>37</c:v>
                </c:pt>
                <c:pt idx="6">
                  <c:v>39</c:v>
                </c:pt>
                <c:pt idx="7">
                  <c:v>40</c:v>
                </c:pt>
                <c:pt idx="8">
                  <c:v>41</c:v>
                </c:pt>
                <c:pt idx="9">
                  <c:v>42</c:v>
                </c:pt>
                <c:pt idx="10">
                  <c:v>43</c:v>
                </c:pt>
                <c:pt idx="11">
                  <c:v>46</c:v>
                </c:pt>
                <c:pt idx="12">
                  <c:v>47</c:v>
                </c:pt>
                <c:pt idx="13">
                  <c:v>53</c:v>
                </c:pt>
                <c:pt idx="14">
                  <c:v>55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67</c:v>
                </c:pt>
                <c:pt idx="19">
                  <c:v>68</c:v>
                </c:pt>
                <c:pt idx="20">
                  <c:v>69</c:v>
                </c:pt>
                <c:pt idx="21">
                  <c:v>70</c:v>
                </c:pt>
                <c:pt idx="22">
                  <c:v>71</c:v>
                </c:pt>
                <c:pt idx="23">
                  <c:v>72</c:v>
                </c:pt>
                <c:pt idx="24">
                  <c:v>73</c:v>
                </c:pt>
              </c:strCache>
            </c:strRef>
          </c:cat>
          <c:val>
            <c:numRef>
              <c:f>PivotTable!$B$88:$B$113</c:f>
              <c:numCache>
                <c:formatCode>General</c:formatCode>
                <c:ptCount val="25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11">
                  <c:v>1</c:v>
                </c:pt>
                <c:pt idx="12">
                  <c:v>4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FA-46C1-BA48-309792F59874}"/>
            </c:ext>
          </c:extLst>
        </c:ser>
        <c:ser>
          <c:idx val="1"/>
          <c:order val="1"/>
          <c:tx>
            <c:strRef>
              <c:f>PivotTable!$C$86:$C$87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PivotTable!$A$88:$A$113</c:f>
              <c:strCache>
                <c:ptCount val="25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</c:v>
                </c:pt>
                <c:pt idx="4">
                  <c:v>36</c:v>
                </c:pt>
                <c:pt idx="5">
                  <c:v>37</c:v>
                </c:pt>
                <c:pt idx="6">
                  <c:v>39</c:v>
                </c:pt>
                <c:pt idx="7">
                  <c:v>40</c:v>
                </c:pt>
                <c:pt idx="8">
                  <c:v>41</c:v>
                </c:pt>
                <c:pt idx="9">
                  <c:v>42</c:v>
                </c:pt>
                <c:pt idx="10">
                  <c:v>43</c:v>
                </c:pt>
                <c:pt idx="11">
                  <c:v>46</c:v>
                </c:pt>
                <c:pt idx="12">
                  <c:v>47</c:v>
                </c:pt>
                <c:pt idx="13">
                  <c:v>53</c:v>
                </c:pt>
                <c:pt idx="14">
                  <c:v>55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67</c:v>
                </c:pt>
                <c:pt idx="19">
                  <c:v>68</c:v>
                </c:pt>
                <c:pt idx="20">
                  <c:v>69</c:v>
                </c:pt>
                <c:pt idx="21">
                  <c:v>70</c:v>
                </c:pt>
                <c:pt idx="22">
                  <c:v>71</c:v>
                </c:pt>
                <c:pt idx="23">
                  <c:v>72</c:v>
                </c:pt>
                <c:pt idx="24">
                  <c:v>73</c:v>
                </c:pt>
              </c:strCache>
            </c:strRef>
          </c:cat>
          <c:val>
            <c:numRef>
              <c:f>PivotTable!$C$88:$C$113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FA-46C1-BA48-309792F59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626823"/>
        <c:axId val="806628871"/>
      </c:lineChart>
      <c:catAx>
        <c:axId val="806626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628871"/>
        <c:crosses val="autoZero"/>
        <c:auto val="1"/>
        <c:lblAlgn val="ctr"/>
        <c:lblOffset val="100"/>
        <c:noMultiLvlLbl val="0"/>
      </c:catAx>
      <c:valAx>
        <c:axId val="806628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626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95250</xdr:rowOff>
    </xdr:from>
    <xdr:to>
      <xdr:col>1</xdr:col>
      <xdr:colOff>19050</xdr:colOff>
      <xdr:row>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DA184D-C978-4445-A6D6-AEF58677E9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2152650</xdr:colOff>
      <xdr:row>21</xdr:row>
      <xdr:rowOff>85725</xdr:rowOff>
    </xdr:from>
    <xdr:to>
      <xdr:col>15</xdr:col>
      <xdr:colOff>0</xdr:colOff>
      <xdr:row>39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A232F6-ACA7-44F7-88B4-E3BF8F1190C2}"/>
            </a:ext>
            <a:ext uri="{147F2762-F138-4A5C-976F-8EAC2B608ADB}">
              <a16:predDERef xmlns:a16="http://schemas.microsoft.com/office/drawing/2014/main" pred="{14DA184D-C978-4445-A6D6-AEF58677E9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66675</xdr:colOff>
      <xdr:row>5</xdr:row>
      <xdr:rowOff>9525</xdr:rowOff>
    </xdr:from>
    <xdr:to>
      <xdr:col>15</xdr:col>
      <xdr:colOff>38100</xdr:colOff>
      <xdr:row>21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B52741-683A-4239-8639-04DB028C003B}"/>
            </a:ext>
            <a:ext uri="{147F2762-F138-4A5C-976F-8EAC2B608ADB}">
              <a16:predDERef xmlns:a16="http://schemas.microsoft.com/office/drawing/2014/main" pred="{00A232F6-ACA7-44F7-88B4-E3BF8F119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2152650</xdr:colOff>
      <xdr:row>5</xdr:row>
      <xdr:rowOff>19050</xdr:rowOff>
    </xdr:from>
    <xdr:to>
      <xdr:col>6</xdr:col>
      <xdr:colOff>1209675</xdr:colOff>
      <xdr:row>21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C1F28E-101B-4D8E-B586-30D6300A5D61}"/>
            </a:ext>
            <a:ext uri="{147F2762-F138-4A5C-976F-8EAC2B608ADB}">
              <a16:predDERef xmlns:a16="http://schemas.microsoft.com/office/drawing/2014/main" pred="{1CB52741-683A-4239-8639-04DB028C0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2143125</xdr:colOff>
      <xdr:row>10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arital Status 2">
              <a:extLst>
                <a:ext uri="{FF2B5EF4-FFF2-40B4-BE49-F238E27FC236}">
                  <a16:creationId xmlns:a16="http://schemas.microsoft.com/office/drawing/2014/main" id="{A6D7CEC4-A58D-3F1D-D2FD-53EC1289DBDA}"/>
                </a:ext>
                <a:ext uri="{147F2762-F138-4A5C-976F-8EAC2B608ADB}">
                  <a16:predDERef xmlns:a16="http://schemas.microsoft.com/office/drawing/2014/main" pred="{67C1F28E-101B-4D8E-B586-30D6300A5D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90625"/>
              <a:ext cx="2143125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24</xdr:row>
      <xdr:rowOff>85725</xdr:rowOff>
    </xdr:from>
    <xdr:to>
      <xdr:col>0</xdr:col>
      <xdr:colOff>2114550</xdr:colOff>
      <xdr:row>39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Education">
              <a:extLst>
                <a:ext uri="{FF2B5EF4-FFF2-40B4-BE49-F238E27FC236}">
                  <a16:creationId xmlns:a16="http://schemas.microsoft.com/office/drawing/2014/main" id="{7EC58121-6F89-17DA-B63B-C93C8D5C1BF7}"/>
                </a:ext>
                <a:ext uri="{147F2762-F138-4A5C-976F-8EAC2B608ADB}">
                  <a16:predDERef xmlns:a16="http://schemas.microsoft.com/office/drawing/2014/main" pred="{A6D7CEC4-A58D-3F1D-D2FD-53EC1289DB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895850"/>
              <a:ext cx="2114550" cy="280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10</xdr:row>
      <xdr:rowOff>28575</xdr:rowOff>
    </xdr:from>
    <xdr:to>
      <xdr:col>0</xdr:col>
      <xdr:colOff>2133600</xdr:colOff>
      <xdr:row>24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5C2B0FAB-42CF-C8D5-A3D7-03B9AFFED18D}"/>
                </a:ext>
                <a:ext uri="{147F2762-F138-4A5C-976F-8EAC2B608ADB}">
                  <a16:predDERef xmlns:a16="http://schemas.microsoft.com/office/drawing/2014/main" pred="{7EC58121-6F89-17DA-B63B-C93C8D5C1B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71700"/>
              <a:ext cx="2133600" cy="2705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0</xdr:row>
      <xdr:rowOff>9525</xdr:rowOff>
    </xdr:from>
    <xdr:to>
      <xdr:col>11</xdr:col>
      <xdr:colOff>323850</xdr:colOff>
      <xdr:row>14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3689AB-FE61-0E10-EC45-399CE554A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361950</xdr:colOff>
      <xdr:row>24</xdr:row>
      <xdr:rowOff>85725</xdr:rowOff>
    </xdr:from>
    <xdr:to>
      <xdr:col>13</xdr:col>
      <xdr:colOff>57150</xdr:colOff>
      <xdr:row>39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5FAB987-0D3D-6C6A-B20F-6BC0BBC2DE98}"/>
            </a:ext>
            <a:ext uri="{147F2762-F138-4A5C-976F-8EAC2B608ADB}">
              <a16:predDERef xmlns:a16="http://schemas.microsoft.com/office/drawing/2014/main" pred="{2E3689AB-FE61-0E10-EC45-399CE554A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571500</xdr:colOff>
      <xdr:row>54</xdr:row>
      <xdr:rowOff>38100</xdr:rowOff>
    </xdr:from>
    <xdr:to>
      <xdr:col>12</xdr:col>
      <xdr:colOff>590550</xdr:colOff>
      <xdr:row>69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476AE1D-7F8B-86F7-AD62-BED3910430CB}"/>
            </a:ext>
            <a:ext uri="{147F2762-F138-4A5C-976F-8EAC2B608ADB}">
              <a16:predDERef xmlns:a16="http://schemas.microsoft.com/office/drawing/2014/main" pred="{35FAB987-0D3D-6C6A-B20F-6BC0BBC2D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428625</xdr:colOff>
      <xdr:row>90</xdr:row>
      <xdr:rowOff>95250</xdr:rowOff>
    </xdr:from>
    <xdr:to>
      <xdr:col>12</xdr:col>
      <xdr:colOff>123825</xdr:colOff>
      <xdr:row>104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07CFC6-2E75-AFF7-213C-7D5D54500506}"/>
            </a:ext>
            <a:ext uri="{147F2762-F138-4A5C-976F-8EAC2B608ADB}">
              <a16:predDERef xmlns:a16="http://schemas.microsoft.com/office/drawing/2014/main" pred="{5476AE1D-7F8B-86F7-AD62-BED391043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2.855645138887" createdVersion="8" refreshedVersion="8" minRefreshableVersion="3" recordCount="1000" xr:uid="{56E9DC32-57A2-448F-B7CF-4A04CB993981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10 Miles +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6">
        <s v="Middle Age"/>
        <s v="Old"/>
        <s v="Adolescent"/>
        <s v="Middle Age 31-54" u="1"/>
        <s v="Old 55+" u="1"/>
        <s v="Adolescent 0-30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1710423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1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1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0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1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1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1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1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1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0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1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1"/>
    <x v="0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killed Manual"/>
    <s v="Yes"/>
    <n v="2"/>
    <x v="2"/>
    <x v="1"/>
    <x v="10"/>
    <x v="1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1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1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1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0"/>
    <x v="1"/>
  </r>
  <r>
    <n v="29106"/>
    <x v="1"/>
    <x v="1"/>
    <n v="40000"/>
    <n v="0"/>
    <x v="2"/>
    <s v="S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1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1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1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0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killed Manual"/>
    <s v="No"/>
    <n v="1"/>
    <x v="3"/>
    <x v="2"/>
    <x v="23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1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1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1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1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0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0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9F697-A3D5-4464-B822-F3932555437B}" name="PivotTable1" cacheId="68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A1:AD5" firstHeaderRow="1" firstDataRow="2" firstDataCol="1"/>
  <pivotFields count="14">
    <pivotField compact="0" outline="0" showAll="0"/>
    <pivotField compact="0" outline="0" showAll="0">
      <items count="3">
        <item x="0"/>
        <item h="1"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>
      <items count="6">
        <item h="1" x="0"/>
        <item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0"/>
        <item x="2"/>
        <item h="1"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"/>
  </dataFields>
  <formats count="1">
    <format dxfId="1">
      <pivotArea outline="0" collapsedLevelsAreSubtotals="1" fieldPosition="0"/>
    </format>
  </formats>
  <chartFormats count="2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2C046-C67A-4734-A372-41BC76BFFE47}" name="PivotTable3" cacheId="68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59:D63" firstHeaderRow="1" firstDataRow="2" firstDataCol="1"/>
  <pivotFields count="14">
    <pivotField compact="0" outline="0" showAll="0"/>
    <pivotField compact="0" outline="0" showAll="0">
      <items count="3">
        <item x="0"/>
        <item h="1"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h="1" x="0"/>
        <item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0"/>
        <item x="2"/>
        <item h="1" x="1"/>
        <item t="default"/>
      </items>
    </pivotField>
    <pivotField compact="0" outline="0" showAll="0"/>
    <pivotField axis="axisRow" compact="0" outline="0" showAll="0">
      <items count="7">
        <item x="2"/>
        <item x="0"/>
        <item x="1"/>
        <item m="1" x="3"/>
        <item m="1" x="4"/>
        <item m="1" x="5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3"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5FDEE7-BA22-479B-AB6A-D96203F0F340}" name="PivotTable2" cacheId="68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29:D36" firstHeaderRow="1" firstDataRow="2" firstDataCol="1"/>
  <pivotFields count="14">
    <pivotField compact="0" outline="0" showAll="0"/>
    <pivotField compact="0" outline="0" showAll="0">
      <items count="3">
        <item x="0"/>
        <item h="1"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h="1" x="0"/>
        <item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>
      <items count="4">
        <item h="1" x="0"/>
        <item x="2"/>
        <item h="1"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9833D-B652-4B50-8A90-696047E8B859}" name="PivotTable1" cacheId="68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1:D5" firstHeaderRow="1" firstDataRow="2" firstDataCol="1"/>
  <pivotFields count="14">
    <pivotField compact="0" outline="0" showAll="0"/>
    <pivotField compact="0" outline="0" showAll="0">
      <items count="3">
        <item x="0"/>
        <item h="1"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>
      <items count="6">
        <item h="1" x="0"/>
        <item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0"/>
        <item x="2"/>
        <item h="1"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"/>
  </dataFields>
  <formats count="1">
    <format dxfId="0">
      <pivotArea outline="0" collapsedLevelsAreSubtotals="1" fieldPosition="0"/>
    </format>
  </formats>
  <chartFormats count="2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F168F-2323-4F6A-B953-35D2DFEE5C40}" name="PivotTable4" cacheId="68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86:D113" firstHeaderRow="1" firstDataRow="2" firstDataCol="1"/>
  <pivotFields count="14">
    <pivotField compact="0" outline="0" showAll="0"/>
    <pivotField compact="0" outline="0" showAll="0">
      <items count="3">
        <item x="0"/>
        <item h="1"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h="1" x="0"/>
        <item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0"/>
        <item x="2"/>
        <item h="1" x="1"/>
        <item t="default"/>
      </items>
    </pivotField>
    <pivotField axis="axisRow" compact="0" outline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26"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21"/>
    </i>
    <i>
      <x v="22"/>
    </i>
    <i>
      <x v="28"/>
    </i>
    <i>
      <x v="30"/>
    </i>
    <i>
      <x v="38"/>
    </i>
    <i>
      <x v="39"/>
    </i>
    <i>
      <x v="40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6F1B9CF0-EDA4-4255-BE6F-EFF028484C52}" sourceName="Marital Status">
  <pivotTables>
    <pivotTable tabId="3" name="PivotTable1"/>
    <pivotTable tabId="2" name="PivotTable1"/>
    <pivotTable tabId="3" name="PivotTable3"/>
    <pivotTable tabId="3" name="PivotTable2"/>
    <pivotTable tabId="3" name="PivotTable4"/>
  </pivotTables>
  <data>
    <tabular pivotCacheId="1171042318">
      <items count="2">
        <i x="0" s="1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26B3094F-6060-458A-9974-3404107B9AE7}" sourceName="Education">
  <pivotTables>
    <pivotTable tabId="2" name="PivotTable1"/>
    <pivotTable tabId="3" name="PivotTable3"/>
    <pivotTable tabId="3" name="PivotTable2"/>
    <pivotTable tabId="3" name="PivotTable1"/>
    <pivotTable tabId="3" name="PivotTable4"/>
  </pivotTables>
  <data>
    <tabular pivotCacheId="1171042318">
      <items count="5">
        <i x="0"/>
        <i x="4" s="1"/>
        <i x="2"/>
        <i x="1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1CCC9FA5-105D-4288-AF89-3539E93E451D}" sourceName="Region">
  <pivotTables>
    <pivotTable tabId="2" name="PivotTable1"/>
    <pivotTable tabId="3" name="PivotTable3"/>
    <pivotTable tabId="3" name="PivotTable2"/>
    <pivotTable tabId="3" name="PivotTable1"/>
    <pivotTable tabId="3" name="PivotTable4"/>
  </pivotTables>
  <data>
    <tabular pivotCacheId="1171042318">
      <items count="3">
        <i x="0"/>
        <i x="2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 2" xr10:uid="{BC526952-BFF3-4148-B90A-D848C5AA0787}" cache="Slicer_Marital_Status" caption="Marital Status" rowHeight="228600"/>
  <slicer name="Education" xr10:uid="{13896822-FEB1-4F05-B914-B1DE19433FEC}" cache="Slicer_Education" caption="Education" rowHeight="228600"/>
  <slicer name="Region" xr10:uid="{3F02CAB6-F49F-4A3B-BF51-7A18EBB09BAA}" cache="Slicer_Region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opLeftCell="F1002" workbookViewId="0">
      <selection sqref="A1:M1027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1C8C-F083-4B73-81FA-7B5760609CBF}">
  <dimension ref="A1:N1027"/>
  <sheetViews>
    <sheetView topLeftCell="I1" workbookViewId="0">
      <selection activeCell="M2" sqref="M2"/>
    </sheetView>
  </sheetViews>
  <sheetFormatPr defaultRowHeight="15"/>
  <cols>
    <col min="2" max="2" width="13.7109375" customWidth="1"/>
    <col min="4" max="4" width="13.85546875" style="4" customWidth="1"/>
    <col min="5" max="5" width="16.5703125" customWidth="1"/>
    <col min="6" max="6" width="18.5703125" customWidth="1"/>
    <col min="7" max="7" width="14.28515625" customWidth="1"/>
    <col min="8" max="8" width="13.28515625" customWidth="1"/>
    <col min="9" max="9" width="10.85546875" customWidth="1"/>
    <col min="10" max="10" width="20.7109375" customWidth="1"/>
    <col min="11" max="11" width="13.85546875" customWidth="1"/>
    <col min="13" max="13" width="22.42578125" customWidth="1"/>
    <col min="14" max="14" width="21.7109375" customWidth="1"/>
  </cols>
  <sheetData>
    <row r="1" spans="1:14">
      <c r="A1" t="s">
        <v>0</v>
      </c>
      <c r="B1" s="3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 ht="18.75" customHeight="1">
      <c r="A2">
        <v>12496</v>
      </c>
      <c r="B2" t="s">
        <v>37</v>
      </c>
      <c r="C2" t="s">
        <v>38</v>
      </c>
      <c r="D2" s="4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s="3" t="str">
        <f>IF(L2&gt;54,"Old",IF(L2&gt;=31,"Middle Age",IF(L2&lt; 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4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s="3" t="str">
        <f t="shared" ref="M3:M66" si="0">IF(L3&gt;54,"Old",IF(L3&gt;=31,"Middle Age",IF(L3&lt; 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4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s="3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4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s="3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4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s="3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4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s="3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4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s="3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4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s="3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4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s="3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4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s="3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4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s="3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4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s="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4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s="3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4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s="3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4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s="3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4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s="3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4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s="3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4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s="3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4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s="3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4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s="3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4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s="3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4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s="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4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s="3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4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s="3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4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s="3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4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s="3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4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s="3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4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s="3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4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s="3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4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s="3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4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s="3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4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s="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4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s="3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4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s="3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4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s="3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4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s="3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4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s="3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4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s="3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4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s="3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4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s="3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4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s="3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4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s="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4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s="3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4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s="3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4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s="3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4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s="3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4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s="3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4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s="3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4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s="3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4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s="3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4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s="3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4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s="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4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s="3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4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s="3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4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s="3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4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s="3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4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s="3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4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s="3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4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s="3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4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s="3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4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s="3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4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s="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4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s="3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4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s="3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4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s="3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4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s="3" t="str">
        <f t="shared" ref="M67:M130" si="1">IF(L67&gt;54,"Old",IF(L67&gt;=31,"Middle Age",IF(L67&lt; 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4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s="3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4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s="3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4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s="3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4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s="3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4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s="3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4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s="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4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s="3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4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s="3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4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s="3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4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s="3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4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s="3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4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s="3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4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s="3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4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s="3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4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s="3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4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s="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4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s="3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4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s="3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4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s="3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4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s="3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4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s="3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4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s="3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4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s="3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4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s="3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4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s="3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4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s="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4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s="3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4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s="3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4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s="3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4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s="3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4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s="3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4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s="3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4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s="3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4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s="3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4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s="3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4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s="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4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s="3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4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s="3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4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s="3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4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s="3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4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s="3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4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s="3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4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s="3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4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s="3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4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s="3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4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s="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4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s="3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4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s="3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4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s="3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4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s="3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4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s="3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4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s="3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4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s="3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4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s="3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4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s="3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4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s="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4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s="3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4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s="3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4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s="3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4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s="3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4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s="3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4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s="3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4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s="3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4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s="3" t="str">
        <f t="shared" ref="M131:M194" si="2">IF(L131&gt;54,"Old",IF(L131&gt;=31,"Middle Age",IF(L131&lt; 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4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s="3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4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s="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4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s="3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4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s="3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4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s="3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4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s="3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4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s="3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4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s="3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4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s="3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4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s="3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4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s="3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4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s="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s="3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4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s="3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4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s="3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4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s="3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4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s="3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4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s="3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4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s="3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4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s="3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4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s="3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4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s="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4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s="3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4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s="3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4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s="3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4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s="3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4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s="3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4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s="3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4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s="3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4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s="3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4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s="3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4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s="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4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s="3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4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s="3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4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s="3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4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s="3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4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s="3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4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s="3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4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s="3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4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s="3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4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s="3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4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s="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4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s="3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4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s="3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4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s="3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4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s="3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4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s="3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4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s="3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4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s="3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4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s="3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4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s="3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4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s="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4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s="3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4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s="3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4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s="3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4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s="3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4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s="3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4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s="3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4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s="3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4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s="3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4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s="3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4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s="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4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s="3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4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s="3" t="str">
        <f t="shared" ref="M195:M258" si="3">IF(L195&gt;54,"Old",IF(L195&gt;=31,"Middle Age",IF(L195&lt; 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4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s="3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4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s="3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4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s="3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4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s="3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4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s="3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4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s="3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4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s="3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4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s="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4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s="3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4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s="3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4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s="3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4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s="3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4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s="3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4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s="3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4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s="3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4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s="3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4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s="3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4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s="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4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s="3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4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s="3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4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s="3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4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s="3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4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s="3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4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s="3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4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s="3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4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s="3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4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s="3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4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s="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4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s="3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4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s="3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4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s="3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4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s="3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4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s="3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4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s="3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4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s="3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4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s="3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4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s="3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4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s="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4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s="3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4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s="3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4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s="3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4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s="3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4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s="3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4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s="3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4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s="3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4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s="3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4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s="3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4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s="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4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s="3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4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s="3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4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s="3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4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s="3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4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s="3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4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s="3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4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s="3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4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s="3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4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s="3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4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s="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4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s="3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4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s="3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4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s="3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4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s="3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4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s="3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4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s="3" t="str">
        <f t="shared" ref="M259:M322" si="4">IF(L259&gt;54,"Old",IF(L259&gt;=31,"Middle Age",IF(L259&lt; 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4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s="3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4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s="3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4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s="3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4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s="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4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s="3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4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s="3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4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s="3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4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s="3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4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s="3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4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s="3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4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s="3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4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s="3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4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s="3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4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s="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4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s="3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4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s="3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4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s="3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4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s="3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4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s="3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4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s="3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4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s="3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4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s="3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4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s="3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4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s="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4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s="3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4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s="3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4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s="3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4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s="3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4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s="3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4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s="3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4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s="3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4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s="3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4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s="3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4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s="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s="3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4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s="3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4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s="3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4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s="3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4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s="3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4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s="3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4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s="3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4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s="3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4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s="3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4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s="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4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s="3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4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s="3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4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s="3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4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s="3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4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s="3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4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s="3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4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s="3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4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s="3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4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s="3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4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s="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4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s="3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4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s="3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4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s="3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4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s="3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4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s="3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4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s="3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4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s="3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4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s="3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4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s="3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4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s="3" t="str">
        <f t="shared" ref="M323:M386" si="5">IF(L323&gt;54,"Old",IF(L323&gt;=31,"Middle Age",IF(L323&lt; 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4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s="3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4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s="3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4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s="3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4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s="3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4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s="3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4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s="3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4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s="3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4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s="3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4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s="3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4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s="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4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s="3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4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s="3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4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s="3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4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s="3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4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s="3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4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s="3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4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s="3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4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s="3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4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s="3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4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s="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4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s="3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4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s="3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4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s="3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4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s="3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4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s="3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4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s="3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4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s="3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4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s="3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4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s="3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4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s="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4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s="3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4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s="3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4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s="3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4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s="3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4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s="3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4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s="3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4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s="3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4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s="3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4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s="3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4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s="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s="3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4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s="3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4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s="3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4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s="3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4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s="3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4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s="3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4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s="3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4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s="3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4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s="3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4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s="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s="3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4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s="3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4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s="3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4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s="3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4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s="3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4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s="3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4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s="3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4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s="3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4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s="3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4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s="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4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s="3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4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s="3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4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s="3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4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s="3" t="str">
        <f t="shared" ref="M387:M450" si="6">IF(L387&gt;54,"Old",IF(L387&gt;=31,"Middle Age",IF(L387&lt; 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4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s="3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4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s="3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4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s="3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4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s="3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4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s="3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4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s="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4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s="3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4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s="3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4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s="3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4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s="3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4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s="3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4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s="3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4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s="3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4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s="3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4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s="3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4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s="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4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s="3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4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s="3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4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s="3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4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s="3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4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s="3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4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s="3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4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s="3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4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s="3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4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s="3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4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s="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4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s="3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4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s="3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4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s="3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4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s="3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4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s="3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4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s="3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4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s="3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4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s="3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4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s="3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4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s="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4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s="3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4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s="3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4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s="3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4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s="3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4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s="3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4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s="3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4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s="3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4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s="3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4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s="3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4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s="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4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s="3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4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s="3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4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s="3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4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s="3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4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s="3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4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s="3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4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s="3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4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s="3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4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s="3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4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s="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4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s="3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4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s="3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4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s="3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4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s="3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4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s="3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4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s="3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4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s="3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4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s="3" t="str">
        <f t="shared" ref="M451:M514" si="7">IF(L451&gt;54,"Old",IF(L451&gt;=31,"Middle Age",IF(L451&lt; 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4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s="3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4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s="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4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s="3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4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s="3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4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s="3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4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s="3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4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s="3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4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s="3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4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s="3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4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s="3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4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s="3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4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s="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4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s="3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4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s="3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4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s="3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4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s="3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4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s="3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4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s="3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4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s="3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4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s="3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4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s="3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4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s="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4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s="3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4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s="3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4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s="3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4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s="3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4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s="3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4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s="3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4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s="3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4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s="3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4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s="3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4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s="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4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s="3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4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s="3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4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s="3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4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s="3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4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s="3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4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s="3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4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s="3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4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s="3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4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s="3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4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s="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4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s="3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4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s="3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4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s="3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4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s="3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4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s="3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4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s="3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4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s="3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4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s="3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4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s="3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4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s="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4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s="3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4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s="3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4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s="3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4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s="3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4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s="3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4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s="3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4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s="3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4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s="3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4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s="3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4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s="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4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s="3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4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s="3" t="str">
        <f t="shared" ref="M515:M578" si="8">IF(L515&gt;54,"Old",IF(L515&gt;=31,"Middle Age",IF(L515&lt; 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4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s="3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4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s="3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4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s="3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4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s="3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4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s="3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4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s="3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4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s="3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4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s="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4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s="3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4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s="3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4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s="3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4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s="3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4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s="3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4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s="3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4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s="3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4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s="3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4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s="3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4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s="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4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s="3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4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s="3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4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s="3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4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s="3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4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s="3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4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s="3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4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s="3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4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s="3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4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s="3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4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s="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4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s="3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4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s="3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4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s="3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4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s="3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4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s="3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4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s="3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4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s="3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4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s="3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4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s="3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4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s="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4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s="3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4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s="3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4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s="3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4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s="3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4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s="3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4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s="3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4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s="3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4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s="3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4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s="3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4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s="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4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s="3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4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s="3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4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s="3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4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s="3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4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s="3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4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s="3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4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s="3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4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s="3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4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s="3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4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s="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4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s="3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4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s="3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4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s="3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4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s="3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4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s="3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4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s="3" t="str">
        <f t="shared" ref="M579:M642" si="9">IF(L579&gt;54,"Old",IF(L579&gt;=31,"Middle Age",IF(L579&lt; 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4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s="3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4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s="3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4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s="3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4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s="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4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s="3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4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s="3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4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s="3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4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s="3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4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s="3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4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s="3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4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s="3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4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s="3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4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s="3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4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s="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4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s="3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4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s="3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4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s="3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4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s="3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4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s="3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4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s="3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4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s="3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4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s="3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4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s="3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4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s="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4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s="3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4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s="3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4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s="3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4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s="3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4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s="3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4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s="3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4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s="3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4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s="3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4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s="3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4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s="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4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s="3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4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s="3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4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s="3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4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s="3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4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s="3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4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s="3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4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s="3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4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s="3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4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s="3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4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s="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4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s="3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4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s="3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4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s="3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4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s="3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4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s="3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4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s="3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4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s="3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4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s="3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4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s="3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4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s="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4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s="3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4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s="3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4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s="3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4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s="3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4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s="3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4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s="3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4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s="3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4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s="3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4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s="3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4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s="3" t="str">
        <f t="shared" ref="M643:M706" si="10">IF(L643&gt;54,"Old",IF(L643&gt;=31,"Middle Age",IF(L643&lt; 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4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s="3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4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s="3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4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s="3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4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s="3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4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s="3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4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s="3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4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s="3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4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s="3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4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s="3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4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s="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4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s="3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4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s="3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4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s="3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4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s="3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4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s="3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4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s="3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4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s="3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4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s="3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4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s="3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4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s="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4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s="3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4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s="3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4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s="3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4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s="3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4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s="3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4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s="3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4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s="3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4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s="3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4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s="3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4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s="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4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s="3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4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s="3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4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s="3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4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s="3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4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s="3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4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s="3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4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s="3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4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s="3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4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s="3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4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s="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4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s="3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4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s="3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4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s="3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4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s="3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4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s="3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4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s="3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4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s="3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4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s="3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4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s="3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4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s="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4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s="3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4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s="3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4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s="3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4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s="3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4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s="3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4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s="3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4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s="3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4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s="3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4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s="3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4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s="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4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s="3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4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s="3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4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s="3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4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s="3" t="str">
        <f t="shared" ref="M707:M770" si="11">IF(L707&gt;54,"Old",IF(L707&gt;=31,"Middle Age",IF(L707&lt; 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4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s="3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4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s="3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4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s="3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4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s="3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4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s="3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4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s="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4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s="3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4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s="3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4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s="3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4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s="3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4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s="3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4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s="3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4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s="3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4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s="3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4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s="3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4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s="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4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s="3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4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s="3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4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s="3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4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s="3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4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s="3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4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s="3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4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s="3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4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s="3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4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s="3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4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s="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4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s="3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4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s="3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4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s="3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4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s="3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4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s="3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4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s="3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4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s="3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4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s="3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4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s="3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4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s="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4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s="3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4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s="3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4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s="3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4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s="3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4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s="3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4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s="3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4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s="3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4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s="3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4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s="3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4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s="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4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s="3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4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s="3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4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s="3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4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s="3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4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s="3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4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s="3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4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s="3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4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s="3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4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s="3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4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s="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s="3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4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s="3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4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s="3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4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s="3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4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s="3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4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s="3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4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s="3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4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s="3" t="str">
        <f t="shared" ref="M771:M834" si="12">IF(L771&gt;54,"Old",IF(L771&gt;=31,"Middle Age",IF(L771&lt; 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4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s="3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4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s="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4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s="3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4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s="3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4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s="3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4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s="3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4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s="3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4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s="3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4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s="3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4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s="3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4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s="3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4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s="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4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s="3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4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s="3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4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s="3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4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s="3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4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s="3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4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s="3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4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s="3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4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s="3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4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s="3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4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s="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4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s="3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4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s="3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4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s="3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4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s="3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4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s="3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4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s="3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4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s="3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4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s="3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4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s="3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4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s="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4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s="3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4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s="3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4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s="3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4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s="3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4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s="3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4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s="3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4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s="3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4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s="3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4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s="3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4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s="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4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s="3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4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s="3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4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s="3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4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s="3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4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s="3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4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s="3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4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s="3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4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s="3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4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s="3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4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s="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4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s="3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4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s="3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4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s="3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4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s="3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4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s="3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4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s="3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4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s="3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4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s="3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4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s="3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4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s="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4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s="3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4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s="3" t="str">
        <f t="shared" ref="M835:M898" si="13">IF(L835&gt;54,"Old",IF(L835&gt;=31,"Middle Age",IF(L835&lt; 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4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s="3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4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s="3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4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s="3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4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s="3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4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s="3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4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s="3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4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s="3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4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s="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4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s="3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4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s="3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4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s="3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4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s="3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4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s="3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4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s="3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4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s="3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4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s="3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4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s="3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4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s="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s="3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4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s="3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4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s="3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4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s="3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4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s="3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4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s="3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4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s="3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4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s="3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4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s="3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4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s="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4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s="3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4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s="3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4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s="3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4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s="3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4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s="3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4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s="3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4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s="3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4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s="3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4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s="3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4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s="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4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s="3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4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s="3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4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s="3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4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s="3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4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s="3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4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s="3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4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s="3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4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s="3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4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s="3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4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s="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4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s="3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4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s="3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4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s="3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4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s="3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4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s="3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4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s="3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4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s="3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4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s="3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4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s="3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4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s="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s="3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4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s="3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4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s="3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4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s="3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4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s="3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4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s="3" t="str">
        <f t="shared" ref="M899:M962" si="14">IF(L899&gt;54,"Old",IF(L899&gt;=31,"Middle Age",IF(L899&lt; 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4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s="3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4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s="3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4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s="3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4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s="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s="3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4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s="3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4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s="3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4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s="3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4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s="3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4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s="3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4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s="3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4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s="3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4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s="3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4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s="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4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s="3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4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s="3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4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s="3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4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s="3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4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s="3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4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s="3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4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s="3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4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s="3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4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s="3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4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s="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4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s="3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4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s="3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4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s="3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4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s="3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4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s="3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4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s="3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4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s="3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4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s="3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4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s="3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4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s="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4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s="3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4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s="3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4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s="3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4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s="3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4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s="3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4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s="3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4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s="3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4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s="3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4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s="3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4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s="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4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s="3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4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s="3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4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s="3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4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s="3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4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s="3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4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s="3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4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s="3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4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s="3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4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s="3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4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s="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4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s="3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4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s="3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4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s="3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4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s="3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4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s="3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4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s="3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4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s="3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4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s="3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4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s="3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4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s="3" t="str">
        <f t="shared" ref="M963:M1026" si="15">IF(L963&gt;54,"Old",IF(L963&gt;=31,"Middle Age",IF(L963&lt; 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4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s="3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4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s="3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4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s="3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4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s="3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4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s="3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4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s="3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4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s="3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4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s="3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4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s="3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4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s="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4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s="3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4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s="3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4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s="3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4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s="3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4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s="3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4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s="3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4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s="3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4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s="3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4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s="3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4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s="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4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s="3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4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s="3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4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s="3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4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s="3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4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s="3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4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s="3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4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s="3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4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s="3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4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s="3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4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s="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4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s="3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4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s="3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4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s="3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4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s="3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4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s="3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4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s="3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4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s="3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4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s="3" t="str">
        <f t="shared" si="15"/>
        <v>Middle Age</v>
      </c>
      <c r="N1001" t="s">
        <v>17</v>
      </c>
    </row>
    <row r="1002" spans="1:14">
      <c r="M1002" s="3" t="str">
        <f t="shared" si="15"/>
        <v>Adolescent</v>
      </c>
    </row>
    <row r="1003" spans="1:14">
      <c r="M1003" s="3" t="str">
        <f t="shared" si="15"/>
        <v>Adolescent</v>
      </c>
    </row>
    <row r="1004" spans="1:14">
      <c r="M1004" s="3" t="str">
        <f t="shared" si="15"/>
        <v>Adolescent</v>
      </c>
    </row>
    <row r="1005" spans="1:14">
      <c r="M1005" s="3" t="str">
        <f t="shared" si="15"/>
        <v>Adolescent</v>
      </c>
    </row>
    <row r="1006" spans="1:14">
      <c r="M1006" s="3" t="str">
        <f t="shared" si="15"/>
        <v>Adolescent</v>
      </c>
    </row>
    <row r="1007" spans="1:14">
      <c r="M1007" s="3" t="str">
        <f t="shared" si="15"/>
        <v>Adolescent</v>
      </c>
    </row>
    <row r="1008" spans="1:14">
      <c r="M1008" s="3" t="str">
        <f t="shared" si="15"/>
        <v>Adolescent</v>
      </c>
    </row>
    <row r="1009" spans="13:13">
      <c r="M1009" s="3" t="str">
        <f t="shared" si="15"/>
        <v>Adolescent</v>
      </c>
    </row>
    <row r="1010" spans="13:13">
      <c r="M1010" s="3" t="str">
        <f t="shared" si="15"/>
        <v>Adolescent</v>
      </c>
    </row>
    <row r="1011" spans="13:13">
      <c r="M1011" s="3" t="str">
        <f t="shared" si="15"/>
        <v>Adolescent</v>
      </c>
    </row>
    <row r="1012" spans="13:13">
      <c r="M1012" s="3" t="str">
        <f t="shared" si="15"/>
        <v>Adolescent</v>
      </c>
    </row>
    <row r="1013" spans="13:13">
      <c r="M1013" s="3" t="str">
        <f t="shared" si="15"/>
        <v>Adolescent</v>
      </c>
    </row>
    <row r="1014" spans="13:13">
      <c r="M1014" s="3" t="str">
        <f t="shared" si="15"/>
        <v>Adolescent</v>
      </c>
    </row>
    <row r="1015" spans="13:13">
      <c r="M1015" s="3" t="str">
        <f t="shared" si="15"/>
        <v>Adolescent</v>
      </c>
    </row>
    <row r="1016" spans="13:13">
      <c r="M1016" s="3" t="str">
        <f t="shared" si="15"/>
        <v>Adolescent</v>
      </c>
    </row>
    <row r="1017" spans="13:13">
      <c r="M1017" s="3" t="str">
        <f t="shared" si="15"/>
        <v>Adolescent</v>
      </c>
    </row>
    <row r="1018" spans="13:13">
      <c r="M1018" s="3" t="str">
        <f t="shared" si="15"/>
        <v>Adolescent</v>
      </c>
    </row>
    <row r="1019" spans="13:13">
      <c r="M1019" s="3" t="str">
        <f t="shared" si="15"/>
        <v>Adolescent</v>
      </c>
    </row>
    <row r="1020" spans="13:13">
      <c r="M1020" s="3" t="str">
        <f t="shared" si="15"/>
        <v>Adolescent</v>
      </c>
    </row>
    <row r="1021" spans="13:13">
      <c r="M1021" s="3" t="str">
        <f t="shared" si="15"/>
        <v>Adolescent</v>
      </c>
    </row>
    <row r="1022" spans="13:13">
      <c r="M1022" s="3" t="str">
        <f t="shared" si="15"/>
        <v>Adolescent</v>
      </c>
    </row>
    <row r="1023" spans="13:13">
      <c r="M1023" s="3" t="str">
        <f t="shared" si="15"/>
        <v>Adolescent</v>
      </c>
    </row>
    <row r="1024" spans="13:13">
      <c r="M1024" s="3" t="str">
        <f t="shared" si="15"/>
        <v>Adolescent</v>
      </c>
    </row>
    <row r="1025" spans="13:13">
      <c r="M1025" s="3" t="str">
        <f t="shared" si="15"/>
        <v>Adolescent</v>
      </c>
    </row>
    <row r="1026" spans="13:13">
      <c r="M1026" s="3" t="str">
        <f t="shared" si="15"/>
        <v>Adolescent</v>
      </c>
    </row>
    <row r="1027" spans="13:13">
      <c r="M1027" s="3" t="str">
        <f t="shared" ref="M1027" si="16">IF(L1027&gt;54,"Old",IF(L1027&gt;=31,"Middle Age",IF(L1027&lt; 31,"Adolescent","Invalid")))</f>
        <v>Adolescent</v>
      </c>
    </row>
  </sheetData>
  <autoFilter ref="A1:N1027" xr:uid="{FF101C8C-F083-4B73-81FA-7B5760609CB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B5D25-15C1-4FEC-A329-A18862B5966D}">
  <dimension ref="A1:AD39"/>
  <sheetViews>
    <sheetView showGridLines="0" workbookViewId="0">
      <selection activeCell="Q24" sqref="Q24"/>
    </sheetView>
  </sheetViews>
  <sheetFormatPr defaultRowHeight="15"/>
  <cols>
    <col min="1" max="1" width="32.7109375" customWidth="1"/>
    <col min="7" max="7" width="18.7109375" bestFit="1" customWidth="1"/>
    <col min="27" max="28" width="17.5703125" bestFit="1" customWidth="1"/>
    <col min="29" max="29" width="6.28515625" bestFit="1" customWidth="1"/>
    <col min="30" max="30" width="11.42578125" bestFit="1" customWidth="1"/>
  </cols>
  <sheetData>
    <row r="1" spans="1:30" ht="18" customHeight="1">
      <c r="A1" s="9" t="s">
        <v>42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AA1" s="5" t="s">
        <v>43</v>
      </c>
      <c r="AB1" s="5" t="s">
        <v>12</v>
      </c>
    </row>
    <row r="2" spans="1:30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AA2" s="5" t="s">
        <v>2</v>
      </c>
      <c r="AB2" t="s">
        <v>20</v>
      </c>
      <c r="AC2" t="s">
        <v>17</v>
      </c>
      <c r="AD2" t="s">
        <v>44</v>
      </c>
    </row>
    <row r="3" spans="1:30" ht="20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AA3" t="s">
        <v>38</v>
      </c>
      <c r="AB3" s="6">
        <v>66428.571428571435</v>
      </c>
      <c r="AC3" s="6">
        <v>66000</v>
      </c>
      <c r="AD3" s="6">
        <v>66206.896551724145</v>
      </c>
    </row>
    <row r="4" spans="1:3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AA4" t="s">
        <v>39</v>
      </c>
      <c r="AB4" s="6">
        <v>75384.61538461539</v>
      </c>
      <c r="AC4" s="6">
        <v>70625</v>
      </c>
      <c r="AD4" s="6">
        <v>73571.428571428565</v>
      </c>
    </row>
    <row r="5" spans="1:30" ht="25.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AA5" t="s">
        <v>44</v>
      </c>
      <c r="AB5" s="6">
        <v>72250</v>
      </c>
      <c r="AC5" s="6">
        <v>68387.096774193546</v>
      </c>
      <c r="AD5" s="6">
        <v>70563.380281690144</v>
      </c>
    </row>
    <row r="6" spans="1:30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30">
      <c r="A7" s="8"/>
    </row>
    <row r="8" spans="1:30">
      <c r="A8" s="8"/>
    </row>
    <row r="9" spans="1:30">
      <c r="A9" s="8"/>
    </row>
    <row r="10" spans="1:30">
      <c r="A10" s="8"/>
    </row>
    <row r="11" spans="1:30">
      <c r="A11" s="8"/>
    </row>
    <row r="12" spans="1:30">
      <c r="A12" s="8"/>
    </row>
    <row r="13" spans="1:30">
      <c r="A13" s="8"/>
    </row>
    <row r="14" spans="1:30">
      <c r="A14" s="8"/>
    </row>
    <row r="15" spans="1:30">
      <c r="A15" s="8"/>
    </row>
    <row r="16" spans="1:30">
      <c r="A16" s="8"/>
    </row>
    <row r="25" spans="1:1">
      <c r="A25" s="8"/>
    </row>
    <row r="26" spans="1:1">
      <c r="A26" s="8"/>
    </row>
    <row r="27" spans="1:1">
      <c r="A27" s="8"/>
    </row>
    <row r="28" spans="1:1">
      <c r="A28" s="8"/>
    </row>
    <row r="29" spans="1:1">
      <c r="A29" s="8"/>
    </row>
    <row r="30" spans="1:1">
      <c r="A30" s="8"/>
    </row>
    <row r="31" spans="1:1">
      <c r="A31" s="8"/>
    </row>
    <row r="32" spans="1:1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</sheetData>
  <mergeCells count="1">
    <mergeCell ref="A1:O5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9633-3F65-4738-B26D-E399C5504BBB}">
  <dimension ref="A1:D113"/>
  <sheetViews>
    <sheetView tabSelected="1" topLeftCell="A90" workbookViewId="0">
      <selection activeCell="F86" sqref="F86"/>
    </sheetView>
  </sheetViews>
  <sheetFormatPr defaultRowHeight="15"/>
  <cols>
    <col min="1" max="1" width="22.5703125" bestFit="1" customWidth="1"/>
    <col min="2" max="2" width="17.5703125" customWidth="1"/>
    <col min="3" max="3" width="9" customWidth="1"/>
    <col min="4" max="4" width="11.42578125" bestFit="1" customWidth="1"/>
  </cols>
  <sheetData>
    <row r="1" spans="1:4">
      <c r="A1" s="5" t="s">
        <v>43</v>
      </c>
      <c r="B1" s="5" t="s">
        <v>12</v>
      </c>
    </row>
    <row r="2" spans="1:4">
      <c r="A2" s="5" t="s">
        <v>2</v>
      </c>
      <c r="B2" t="s">
        <v>20</v>
      </c>
      <c r="C2" t="s">
        <v>17</v>
      </c>
      <c r="D2" t="s">
        <v>44</v>
      </c>
    </row>
    <row r="3" spans="1:4">
      <c r="A3" t="s">
        <v>38</v>
      </c>
      <c r="B3" s="6">
        <v>66428.571428571435</v>
      </c>
      <c r="C3" s="6">
        <v>66000</v>
      </c>
      <c r="D3" s="6">
        <v>66206.896551724145</v>
      </c>
    </row>
    <row r="4" spans="1:4">
      <c r="A4" t="s">
        <v>39</v>
      </c>
      <c r="B4" s="6">
        <v>75384.61538461539</v>
      </c>
      <c r="C4" s="6">
        <v>70625</v>
      </c>
      <c r="D4" s="6">
        <v>73571.428571428565</v>
      </c>
    </row>
    <row r="5" spans="1:4">
      <c r="A5" t="s">
        <v>44</v>
      </c>
      <c r="B5" s="6">
        <v>72250</v>
      </c>
      <c r="C5" s="6">
        <v>68387.096774193546</v>
      </c>
      <c r="D5" s="6">
        <v>70563.380281690144</v>
      </c>
    </row>
    <row r="29" spans="1:4">
      <c r="A29" s="5" t="s">
        <v>45</v>
      </c>
      <c r="B29" s="5" t="s">
        <v>12</v>
      </c>
    </row>
    <row r="30" spans="1:4">
      <c r="A30" s="5" t="s">
        <v>9</v>
      </c>
      <c r="B30" t="s">
        <v>20</v>
      </c>
      <c r="C30" t="s">
        <v>17</v>
      </c>
      <c r="D30" t="s">
        <v>44</v>
      </c>
    </row>
    <row r="31" spans="1:4">
      <c r="A31" t="s">
        <v>18</v>
      </c>
      <c r="B31" s="7">
        <v>18</v>
      </c>
      <c r="C31" s="7">
        <v>13</v>
      </c>
      <c r="D31" s="7">
        <v>31</v>
      </c>
    </row>
    <row r="32" spans="1:4">
      <c r="A32" t="s">
        <v>29</v>
      </c>
      <c r="B32" s="7">
        <v>7</v>
      </c>
      <c r="C32" s="7">
        <v>5</v>
      </c>
      <c r="D32" s="7">
        <v>12</v>
      </c>
    </row>
    <row r="33" spans="1:4">
      <c r="A33" t="s">
        <v>24</v>
      </c>
      <c r="B33" s="7">
        <v>4</v>
      </c>
      <c r="C33" s="7">
        <v>12</v>
      </c>
      <c r="D33" s="7">
        <v>16</v>
      </c>
    </row>
    <row r="34" spans="1:4">
      <c r="A34" t="s">
        <v>26</v>
      </c>
      <c r="B34" s="7">
        <v>7</v>
      </c>
      <c r="C34" s="7">
        <v>1</v>
      </c>
      <c r="D34" s="7">
        <v>8</v>
      </c>
    </row>
    <row r="35" spans="1:4">
      <c r="A35" t="s">
        <v>41</v>
      </c>
      <c r="B35" s="7">
        <v>4</v>
      </c>
      <c r="C35" s="7"/>
      <c r="D35" s="7">
        <v>4</v>
      </c>
    </row>
    <row r="36" spans="1:4">
      <c r="A36" t="s">
        <v>44</v>
      </c>
      <c r="B36" s="7">
        <v>40</v>
      </c>
      <c r="C36" s="7">
        <v>31</v>
      </c>
      <c r="D36" s="7">
        <v>71</v>
      </c>
    </row>
    <row r="59" spans="1:4">
      <c r="A59" s="5" t="s">
        <v>45</v>
      </c>
      <c r="B59" s="5" t="s">
        <v>12</v>
      </c>
    </row>
    <row r="60" spans="1:4">
      <c r="A60" s="5" t="s">
        <v>36</v>
      </c>
      <c r="B60" t="s">
        <v>20</v>
      </c>
      <c r="C60" t="s">
        <v>17</v>
      </c>
      <c r="D60" t="s">
        <v>44</v>
      </c>
    </row>
    <row r="61" spans="1:4">
      <c r="A61" t="s">
        <v>46</v>
      </c>
      <c r="B61" s="7">
        <v>25</v>
      </c>
      <c r="C61" s="7">
        <v>30</v>
      </c>
      <c r="D61" s="7">
        <v>55</v>
      </c>
    </row>
    <row r="62" spans="1:4">
      <c r="A62" t="s">
        <v>47</v>
      </c>
      <c r="B62" s="7">
        <v>15</v>
      </c>
      <c r="C62" s="7">
        <v>1</v>
      </c>
      <c r="D62" s="7">
        <v>16</v>
      </c>
    </row>
    <row r="63" spans="1:4">
      <c r="A63" t="s">
        <v>44</v>
      </c>
      <c r="B63" s="7">
        <v>40</v>
      </c>
      <c r="C63" s="7">
        <v>31</v>
      </c>
      <c r="D63" s="7">
        <v>71</v>
      </c>
    </row>
    <row r="86" spans="1:4">
      <c r="A86" s="5" t="s">
        <v>45</v>
      </c>
      <c r="B86" s="5" t="s">
        <v>12</v>
      </c>
    </row>
    <row r="87" spans="1:4">
      <c r="A87" s="5" t="s">
        <v>11</v>
      </c>
      <c r="B87" t="s">
        <v>20</v>
      </c>
      <c r="C87" t="s">
        <v>17</v>
      </c>
      <c r="D87" t="s">
        <v>44</v>
      </c>
    </row>
    <row r="88" spans="1:4">
      <c r="A88">
        <v>32</v>
      </c>
      <c r="B88" s="7">
        <v>2</v>
      </c>
      <c r="C88" s="7">
        <v>1</v>
      </c>
      <c r="D88" s="7">
        <v>3</v>
      </c>
    </row>
    <row r="89" spans="1:4">
      <c r="A89">
        <v>33</v>
      </c>
      <c r="B89" s="7">
        <v>1</v>
      </c>
      <c r="C89" s="7">
        <v>2</v>
      </c>
      <c r="D89" s="7">
        <v>3</v>
      </c>
    </row>
    <row r="90" spans="1:4">
      <c r="A90">
        <v>34</v>
      </c>
      <c r="B90" s="7">
        <v>4</v>
      </c>
      <c r="C90" s="7">
        <v>3</v>
      </c>
      <c r="D90" s="7">
        <v>7</v>
      </c>
    </row>
    <row r="91" spans="1:4">
      <c r="A91">
        <v>35</v>
      </c>
      <c r="B91" s="7">
        <v>2</v>
      </c>
      <c r="C91" s="7">
        <v>7</v>
      </c>
      <c r="D91" s="7">
        <v>9</v>
      </c>
    </row>
    <row r="92" spans="1:4">
      <c r="A92">
        <v>36</v>
      </c>
      <c r="B92" s="7">
        <v>1</v>
      </c>
      <c r="C92" s="7">
        <v>5</v>
      </c>
      <c r="D92" s="7">
        <v>6</v>
      </c>
    </row>
    <row r="93" spans="1:4">
      <c r="A93">
        <v>37</v>
      </c>
      <c r="B93" s="7">
        <v>1</v>
      </c>
      <c r="C93" s="7">
        <v>2</v>
      </c>
      <c r="D93" s="7">
        <v>3</v>
      </c>
    </row>
    <row r="94" spans="1:4">
      <c r="A94">
        <v>39</v>
      </c>
      <c r="B94" s="7">
        <v>3</v>
      </c>
      <c r="C94" s="7">
        <v>1</v>
      </c>
      <c r="D94" s="7">
        <v>4</v>
      </c>
    </row>
    <row r="95" spans="1:4">
      <c r="A95">
        <v>40</v>
      </c>
      <c r="B95" s="7">
        <v>4</v>
      </c>
      <c r="C95" s="7">
        <v>2</v>
      </c>
      <c r="D95" s="7">
        <v>6</v>
      </c>
    </row>
    <row r="96" spans="1:4">
      <c r="A96">
        <v>41</v>
      </c>
      <c r="B96" s="7">
        <v>2</v>
      </c>
      <c r="C96" s="7"/>
      <c r="D96" s="7">
        <v>2</v>
      </c>
    </row>
    <row r="97" spans="1:4">
      <c r="A97">
        <v>42</v>
      </c>
      <c r="B97" s="7"/>
      <c r="C97" s="7">
        <v>2</v>
      </c>
      <c r="D97" s="7">
        <v>2</v>
      </c>
    </row>
    <row r="98" spans="1:4">
      <c r="A98">
        <v>43</v>
      </c>
      <c r="B98" s="7"/>
      <c r="C98" s="7">
        <v>1</v>
      </c>
      <c r="D98" s="7">
        <v>1</v>
      </c>
    </row>
    <row r="99" spans="1:4">
      <c r="A99">
        <v>46</v>
      </c>
      <c r="B99" s="7">
        <v>1</v>
      </c>
      <c r="C99" s="7">
        <v>1</v>
      </c>
      <c r="D99" s="7">
        <v>2</v>
      </c>
    </row>
    <row r="100" spans="1:4">
      <c r="A100">
        <v>47</v>
      </c>
      <c r="B100" s="7">
        <v>4</v>
      </c>
      <c r="C100" s="7">
        <v>2</v>
      </c>
      <c r="D100" s="7">
        <v>6</v>
      </c>
    </row>
    <row r="101" spans="1:4">
      <c r="A101">
        <v>53</v>
      </c>
      <c r="B101" s="7"/>
      <c r="C101" s="7">
        <v>1</v>
      </c>
      <c r="D101" s="7">
        <v>1</v>
      </c>
    </row>
    <row r="102" spans="1:4">
      <c r="A102">
        <v>55</v>
      </c>
      <c r="B102" s="7">
        <v>1</v>
      </c>
      <c r="C102" s="7"/>
      <c r="D102" s="7">
        <v>1</v>
      </c>
    </row>
    <row r="103" spans="1:4">
      <c r="A103">
        <v>63</v>
      </c>
      <c r="B103" s="7">
        <v>1</v>
      </c>
      <c r="C103" s="7"/>
      <c r="D103" s="7">
        <v>1</v>
      </c>
    </row>
    <row r="104" spans="1:4">
      <c r="A104">
        <v>64</v>
      </c>
      <c r="B104" s="7">
        <v>2</v>
      </c>
      <c r="C104" s="7"/>
      <c r="D104" s="7">
        <v>2</v>
      </c>
    </row>
    <row r="105" spans="1:4">
      <c r="A105">
        <v>65</v>
      </c>
      <c r="B105" s="7">
        <v>1</v>
      </c>
      <c r="C105" s="7"/>
      <c r="D105" s="7">
        <v>1</v>
      </c>
    </row>
    <row r="106" spans="1:4">
      <c r="A106">
        <v>67</v>
      </c>
      <c r="B106" s="7">
        <v>2</v>
      </c>
      <c r="C106" s="7"/>
      <c r="D106" s="7">
        <v>2</v>
      </c>
    </row>
    <row r="107" spans="1:4">
      <c r="A107">
        <v>68</v>
      </c>
      <c r="B107" s="7">
        <v>1</v>
      </c>
      <c r="C107" s="7"/>
      <c r="D107" s="7">
        <v>1</v>
      </c>
    </row>
    <row r="108" spans="1:4">
      <c r="A108">
        <v>69</v>
      </c>
      <c r="B108" s="7">
        <v>3</v>
      </c>
      <c r="C108" s="7"/>
      <c r="D108" s="7">
        <v>3</v>
      </c>
    </row>
    <row r="109" spans="1:4">
      <c r="A109">
        <v>70</v>
      </c>
      <c r="B109" s="7">
        <v>2</v>
      </c>
      <c r="C109" s="7"/>
      <c r="D109" s="7">
        <v>2</v>
      </c>
    </row>
    <row r="110" spans="1:4">
      <c r="A110">
        <v>71</v>
      </c>
      <c r="B110" s="7">
        <v>1</v>
      </c>
      <c r="C110" s="7"/>
      <c r="D110" s="7">
        <v>1</v>
      </c>
    </row>
    <row r="111" spans="1:4">
      <c r="A111">
        <v>72</v>
      </c>
      <c r="B111" s="7"/>
      <c r="C111" s="7">
        <v>1</v>
      </c>
      <c r="D111" s="7">
        <v>1</v>
      </c>
    </row>
    <row r="112" spans="1:4">
      <c r="A112">
        <v>73</v>
      </c>
      <c r="B112" s="7">
        <v>1</v>
      </c>
      <c r="C112" s="7"/>
      <c r="D112" s="7">
        <v>1</v>
      </c>
    </row>
    <row r="113" spans="1:4">
      <c r="A113" t="s">
        <v>44</v>
      </c>
      <c r="B113" s="7">
        <v>40</v>
      </c>
      <c r="C113" s="7">
        <v>31</v>
      </c>
      <c r="D113" s="7">
        <v>71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2025-12-02T11:37:34Z</dcterms:modified>
  <cp:category/>
  <cp:contentStatus/>
</cp:coreProperties>
</file>